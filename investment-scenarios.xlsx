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<sst xmlns="http://schemas.openxmlformats.org/spreadsheetml/2006/main" count="7" uniqueCount="7">
  <si>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age</t>
  </si>
  <si>
    <t>wealth</t>
  </si>
  <si>
    <t>interest</t>
  </si>
  <si>
    <t>savings</t>
  </si>
  <si>
    <t>pension</t>
  </si>
  <si>
    <t xml:space="preserve">life expectancy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</si>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</sst>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&quot;(&quot;#,##0&quot;)&quot;;_(* &quot;-&quot;??_);_(@_)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0" fillId="2" borderId="0" numFmtId="44" applyNumberFormat="1" applyFont="0" applyFill="0" applyBorder="0"/>
    <xf fontId="0" fillId="2" borderId="0" numFmtId="43" applyNumberFormat="1" applyFont="0" applyFill="0" applyBorder="0"/>
  </cellStyleXfs>
  <cellXfs count="7">
    <xf fontId="0" fillId="0" borderId="0" numFmtId="0" xfId="0"/>
    <xf fontId="0" fillId="0" borderId="0" numFmtId="164" xfId="2" applyNumberFormat="1"/>
    <xf fontId="0" fillId="0" borderId="0" numFmtId="165" xfId="2" applyNumberFormat="1"/>
    <xf fontId="1" fillId="0" borderId="0" numFmtId="0" xfId="0" applyFont="1"/>
    <xf fontId="1" fillId="0" borderId="0" numFmtId="164" xfId="2" applyNumberFormat="1" applyFont="1"/>
    <xf fontId="1" fillId="0" borderId="0" numFmtId="165" xfId="2" applyNumberFormat="1" applyFont="1"/>
    <xf fontId="0" fillId="0" borderId="0" numFmtId="0" xfId="0">
      <protection hidden="0" locked="1"/>
    </xf>
  </cellXfs>
  <cellStyles count="3">
    <cellStyle name="Normal" xfId="0" builtinId="0"/>
    <cellStyle name="Currency" xfId="1" builtinId="4"/>
    <cellStyle name="Comm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/>
              <a:t>Wealth over time</a:t>
            </a:r>
            <a:endParaRPr sz="2000"/>
          </a:p>
        </c:rich>
      </c:tx>
      <c:layout>
        <c:manualLayout>
          <c:x val="0.003560"/>
          <c:y val="-0.00930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108640"/>
          <c:y val="0.109350"/>
          <c:w val="0.884230"/>
          <c:h val="0.788620"/>
        </c:manualLayout>
      </c:layout>
      <c:lineChart>
        <c:grouping val="standard"/>
        <c:varyColors val="0"/>
        <c:ser>
          <c:idx val="1"/>
          <c:order val="0"/>
          <c:tx>
            <c:v>Mean contribution ($6500/year)</c:v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none"/>
          </c:marker>
          <c:cat>
            <c:numRef>
              <c:f>Sheet1!$A$2:$A$77</c:f>
            </c:numRef>
          </c:cat>
          <c:val>
            <c:numRef>
              <c:f>Sheet1!$B$2:$B$77</c:f>
            </c:numRef>
          </c:val>
          <c:smooth val="0"/>
        </c:ser>
        <c:ser>
          <c:idx val="0"/>
          <c:order val="1"/>
          <c:tx>
            <c:v>Median contribution ($5500/year)</c:v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none"/>
          </c:marker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numRef>
              <c:f>Sheet1!$A$2:$A$77</c:f>
              <c:numCache>
                <c:formatCode>General</c:formatCode>
                <c:ptCount val="76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75</c:v>
                </c:pt>
                <c:pt idx="51">
                  <c:v>76</c:v>
                </c:pt>
                <c:pt idx="52">
                  <c:v>77</c:v>
                </c:pt>
                <c:pt idx="53">
                  <c:v>78</c:v>
                </c:pt>
                <c:pt idx="54">
                  <c:v>79</c:v>
                </c:pt>
                <c:pt idx="55">
                  <c:v>80</c:v>
                </c:pt>
                <c:pt idx="56">
                  <c:v>81</c:v>
                </c:pt>
                <c:pt idx="57">
                  <c:v>82</c:v>
                </c:pt>
                <c:pt idx="58">
                  <c:v>83</c:v>
                </c:pt>
                <c:pt idx="59">
                  <c:v>84</c:v>
                </c:pt>
                <c:pt idx="60">
                  <c:v>85</c:v>
                </c:pt>
                <c:pt idx="61">
                  <c:v>86</c:v>
                </c:pt>
                <c:pt idx="62">
                  <c:v>87</c:v>
                </c:pt>
                <c:pt idx="63">
                  <c:v>88</c:v>
                </c:pt>
                <c:pt idx="64">
                  <c:v>89</c:v>
                </c:pt>
                <c:pt idx="65">
                  <c:v>90</c:v>
                </c:pt>
                <c:pt idx="66">
                  <c:v>91</c:v>
                </c:pt>
                <c:pt idx="67">
                  <c:v>92</c:v>
                </c:pt>
                <c:pt idx="68">
                  <c:v>93</c:v>
                </c:pt>
                <c:pt idx="69">
                  <c:v>94</c:v>
                </c:pt>
                <c:pt idx="70">
                  <c:v>95</c:v>
                </c:pt>
                <c:pt idx="71">
                  <c:v>96</c:v>
                </c:pt>
                <c:pt idx="72">
                  <c:v>97</c:v>
                </c:pt>
                <c:pt idx="73">
                  <c:v>98</c:v>
                </c:pt>
                <c:pt idx="74">
                  <c:v>99</c:v>
                </c:pt>
                <c:pt idx="75">
                  <c:v>100</c:v>
                </c:pt>
              </c:numCache>
            </c:numRef>
          </c:cat>
          <c:val>
            <c:numRef>
              <c:f>Sheet1!$G$2:$G$77</c:f>
              <c:numCache>
                <c:formatCode>_(* #,##0.00_);_(* \(#,##0.00\);_(* "-"??_);_(@_)</c:formatCode>
                <c:ptCount val="76"/>
                <c:pt idx="0">
                  <c:v>1000</c:v>
                </c:pt>
                <c:pt idx="1">
                  <c:v>6570</c:v>
                </c:pt>
                <c:pt idx="2">
                  <c:v>12529.9</c:v>
                </c:pt>
                <c:pt idx="3">
                  <c:v>18906.993000000002</c:v>
                </c:pt>
                <c:pt idx="4">
                  <c:v>25730.48251</c:v>
                </c:pt>
                <c:pt idx="5">
                  <c:v>33031.6162857</c:v>
                </c:pt>
                <c:pt idx="6">
                  <c:v>40843.829425699005</c:v>
                </c:pt>
                <c:pt idx="7">
                  <c:v>49202.89748549794</c:v>
                </c:pt>
                <c:pt idx="8">
                  <c:v>58147.1003094828</c:v>
                </c:pt>
                <c:pt idx="9">
                  <c:v>67717.3973311466</c:v>
                </c:pt>
                <c:pt idx="10">
                  <c:v>77957.61514432686</c:v>
                </c:pt>
                <c:pt idx="11">
                  <c:v>88914.64820442974</c:v>
                </c:pt>
                <c:pt idx="12">
                  <c:v>100638.67357873982</c:v>
                </c:pt>
                <c:pt idx="13">
                  <c:v>113183.38072925161</c:v>
                </c:pt>
                <c:pt idx="14">
                  <c:v>126606.21738029923</c:v>
                </c:pt>
                <c:pt idx="15">
                  <c:v>140968.65259692018</c:v>
                </c:pt>
                <c:pt idx="16">
                  <c:v>156336.45827870458</c:v>
                </c:pt>
                <c:pt idx="17">
                  <c:v>172780.0103582139</c:v>
                </c:pt>
                <c:pt idx="18">
                  <c:v>190374.61108328888</c:v>
                </c:pt>
                <c:pt idx="19">
                  <c:v>209200.8338591191</c:v>
                </c:pt>
                <c:pt idx="20">
                  <c:v>229344.89222925744</c:v>
                </c:pt>
                <c:pt idx="21">
                  <c:v>250899.03468530544</c:v>
                </c:pt>
                <c:pt idx="22">
                  <c:v>273961.9671132768</c:v>
                </c:pt>
                <c:pt idx="23">
                  <c:v>298639.3048112062</c:v>
                </c:pt>
                <c:pt idx="24">
                  <c:v>325044.0561479906</c:v>
                </c:pt>
                <c:pt idx="25">
                  <c:v>353297.14007834985</c:v>
                </c:pt>
                <c:pt idx="26">
                  <c:v>383527.93988383433</c:v>
                </c:pt>
                <c:pt idx="27">
                  <c:v>415874.8956757027</c:v>
                </c:pt>
                <c:pt idx="28">
                  <c:v>450486.1383730018</c:v>
                </c:pt>
                <c:pt idx="29">
                  <c:v>487520.1680591119</c:v>
                </c:pt>
                <c:pt idx="30">
                  <c:v>527146.5798232497</c:v>
                </c:pt>
                <c:pt idx="31">
                  <c:v>569546.8404108771</c:v>
                </c:pt>
                <c:pt idx="32">
                  <c:v>614915.1192396384</c:v>
                </c:pt>
                <c:pt idx="33">
                  <c:v>663459.177586413</c:v>
                </c:pt>
                <c:pt idx="34">
                  <c:v>715401.3200174618</c:v>
                </c:pt>
                <c:pt idx="35">
                  <c:v>770979.412418684</c:v>
                </c:pt>
                <c:pt idx="36">
                  <c:v>830447.9712879917</c:v>
                </c:pt>
                <c:pt idx="37">
                  <c:v>894079.329278151</c:v>
                </c:pt>
                <c:pt idx="38">
                  <c:v>962164.8823276215</c:v>
                </c:pt>
                <c:pt idx="39">
                  <c:v>1035016.4240905547</c:v>
                </c:pt>
                <c:pt idx="40">
                  <c:v>1066066.9168132711</c:v>
                </c:pt>
                <c:pt idx="41">
                  <c:v>1054535.9889375358</c:v>
                </c:pt>
                <c:pt idx="42">
                  <c:v>1042233.0690665978</c:v>
                </c:pt>
                <c:pt idx="43">
                  <c:v>1029149.7177740596</c:v>
                </c:pt>
                <c:pt idx="44">
                  <c:v>1015278.5694040613</c:v>
                </c:pt>
                <c:pt idx="45">
                  <c:v>1000613.4345126693</c:v>
                </c:pt>
                <c:pt idx="46">
                  <c:v>985149.4087065645</c:v>
                </c:pt>
                <c:pt idx="47">
                  <c:v>968882.9882372235</c:v>
                </c:pt>
                <c:pt idx="48">
                  <c:v>951812.1927301867</c:v>
                </c:pt>
                <c:pt idx="49">
                  <c:v>933936.6954520833</c:v>
                </c:pt>
                <c:pt idx="50">
                  <c:v>915257.9615430416</c:v>
                </c:pt>
                <c:pt idx="51">
                  <c:v>895779.3946691769</c:v>
                </c:pt>
                <c:pt idx="52">
                  <c:v>875506.4925792954</c:v>
                </c:pt>
                <c:pt idx="53">
                  <c:v>854447.0120821177</c:v>
                </c:pt>
                <c:pt idx="54">
                  <c:v>832611.1439955748</c:v>
                </c:pt>
                <c:pt idx="55">
                  <c:v>810011.698658552</c:v>
                </c:pt>
                <c:pt idx="56">
                  <c:v>786664.3026383937</c:v>
                </c:pt>
                <c:pt idx="57">
                  <c:v>762587.6073152187</c:v>
                </c:pt>
                <c:pt idx="58">
                  <c:v>737803.510077474</c:v>
                </c:pt>
                <c:pt idx="59">
                  <c:v>712337.388923187</c:v>
                </c:pt>
                <c:pt idx="60">
                  <c:v>686218.3513293369</c:v>
                </c:pt>
                <c:pt idx="61">
                  <c:v>659479.4983292627</c:v>
                </c:pt>
                <c:pt idx="62">
                  <c:v>632158.2048270503</c:v>
                </c:pt>
                <c:pt idx="63">
                  <c:v>604296.4172809692</c:v>
                </c:pt>
                <c:pt idx="64">
                  <c:v>575940.9700085545</c:v>
                </c:pt>
                <c:pt idx="65">
                  <c:v>547143.9215081268</c:v>
                </c:pt>
                <c:pt idx="66">
                  <c:v>517962.91236102674</c:v>
                </c:pt>
                <c:pt idx="67">
                  <c:v>488461.54648307257</c:v>
                </c:pt>
                <c:pt idx="68">
                  <c:v>458709.79774274</c:v>
                </c:pt>
                <c:pt idx="69">
                  <c:v>428784.44427095173</c:v>
                </c:pt>
                <c:pt idx="70">
                  <c:v>398769.5331719851</c:v>
                </c:pt>
                <c:pt idx="71">
                  <c:v>368756.87883325154</c:v>
                </c:pt>
                <c:pt idx="72">
                  <c:v>338846.59866122116</c:v>
                </c:pt>
                <c:pt idx="73">
                  <c:v>309147.6908962083</c:v>
                </c:pt>
                <c:pt idx="74">
                  <c:v>279778.6602610685</c:v>
                </c:pt>
                <c:pt idx="75">
                  <c:v>250868.19870075808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marker val="0"/>
        <c:smooth val="0"/>
        <c:axId val="511721971"/>
        <c:axId val="511721972"/>
      </c:lineChart>
      <c:catAx>
        <c:axId val="51172197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Age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2"/>
        <c:crosses val="autoZero"/>
        <c:auto val="1"/>
        <c:lblAlgn val="ctr"/>
        <c:lblOffset val="100"/>
        <c:noMultiLvlLbl val="0"/>
      </c:catAx>
      <c:valAx>
        <c:axId val="5117219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>
        <c:manualLayout>
          <c:x val="0.004740"/>
          <c:y val="-0.02046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8760141" y="668654"/>
      <a:ext cx="8025765" cy="512064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130491</xdr:colOff>
      <xdr:row>3</xdr:row>
      <xdr:rowOff>140016</xdr:rowOff>
    </xdr:from>
    <xdr:to>
      <xdr:col>26</xdr:col>
      <xdr:colOff>231457</xdr:colOff>
      <xdr:row>32</xdr:row>
      <xdr:rowOff>150495</xdr:rowOff>
    </xdr:to>
    <xdr:graphicFrame>
      <xdr:nvGraphicFramePr>
        <xdr:cNvPr id="2096885729" name=""/>
        <xdr:cNvGraphicFramePr>
          <a:graphicFrameLocks xmlns:a="http://schemas.openxmlformats.org/drawingml/2006/main"/>
        </xdr:cNvGraphicFramePr>
      </xdr:nvGraphicFramePr>
      <xdr:xfrm rot="0">
        <a:off x="8760141" y="668654"/>
        <a:ext cx="8025765" cy="512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22</xdr:col>
      <xdr:colOff>319087</xdr:colOff>
      <xdr:row>11</xdr:row>
      <xdr:rowOff>52387</xdr:rowOff>
    </xdr:from>
    <xdr:to>
      <xdr:col>25</xdr:col>
      <xdr:colOff>42862</xdr:colOff>
      <xdr:row>12</xdr:row>
      <xdr:rowOff>161924</xdr:rowOff>
    </xdr:to>
    <xdr:sp>
      <xdr:nvSpPr>
        <xdr:cNvPr id="888419378" name=""/>
        <xdr:cNvSpPr txBox="1"/>
      </xdr:nvSpPr>
      <xdr:spPr bwMode="auto">
        <a:xfrm rot="0" flipH="0" flipV="0">
          <a:off x="14435137" y="1990724"/>
          <a:ext cx="1552574" cy="285750"/>
        </a:xfrm>
        <a:prstGeom prst="rect">
          <a:avLst/>
        </a:prstGeom>
        <a:noFill/>
        <a:ln w="6350">
          <a:noFill/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1200">
              <a:solidFill>
                <a:schemeClr val="accent2">
                  <a:lumMod val="75000"/>
                </a:schemeClr>
              </a:solidFill>
            </a:rPr>
            <a:t>$53,000/year pension</a:t>
          </a:r>
          <a:endParaRPr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twoCell">
    <xdr:from>
      <xdr:col>21</xdr:col>
      <xdr:colOff>133349</xdr:colOff>
      <xdr:row>17</xdr:row>
      <xdr:rowOff>147637</xdr:rowOff>
    </xdr:from>
    <xdr:to>
      <xdr:col>24</xdr:col>
      <xdr:colOff>190499</xdr:colOff>
      <xdr:row>19</xdr:row>
      <xdr:rowOff>147637</xdr:rowOff>
    </xdr:to>
    <xdr:sp>
      <xdr:nvSpPr>
        <xdr:cNvPr id="530690318" name=""/>
        <xdr:cNvSpPr txBox="1"/>
      </xdr:nvSpPr>
      <xdr:spPr bwMode="auto">
        <a:xfrm rot="0" flipH="0" flipV="0">
          <a:off x="13639799" y="3143249"/>
          <a:ext cx="1885950" cy="352424"/>
        </a:xfrm>
        <a:prstGeom prst="rect">
          <a:avLst/>
        </a:prstGeom>
        <a:noFill/>
        <a:ln w="6350">
          <a:noFill/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 marL="0" marR="0" indent="0">
            <a:defRPr/>
          </a:pPr>
          <a:r>
            <a:rPr sz="1200">
              <a:solidFill>
                <a:schemeClr val="accent1">
                  <a:lumMod val="50000"/>
                </a:schemeClr>
              </a:solidFill>
            </a:rPr>
            <a:t>$45,000/year pension</a:t>
          </a:r>
          <a:endParaRPr sz="1600">
            <a:solidFill>
              <a:schemeClr val="accent1">
                <a:lumMod val="50000"/>
              </a:schemeClr>
            </a:solidFill>
          </a:endParaRPr>
        </a:p>
        <a:p>
          <a:pPr>
            <a:defRPr/>
          </a:pPr>
          <a:endParaRPr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0" zoomScale="100" workbookViewId="0">
      <selection activeCell="A1" activeCellId="0" sqref="A1"/>
    </sheetView>
  </sheetViews>
  <sheetFormatPr defaultRowHeight="14.25"/>
  <cols>
    <col bestFit="1" min="2" max="2" style="1" width="13.1328125"/>
    <col min="4" max="4" style="2" width="9.140625"/>
    <col bestFit="1" min="5" max="5" style="2" width="10.4609375"/>
    <col bestFit="1" customWidth="1" min="7" max="7" width="13.1328125"/>
    <col customWidth="1" min="8" max="8" width="9.140625"/>
    <col customWidth="1" min="9" max="9" width="9.140625"/>
    <col bestFit="1" customWidth="1" min="10" max="10" width="10.4609375"/>
    <col customWidth="1" min="11" max="11" width="9.140625"/>
  </cols>
  <sheetData>
    <row r="1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4" t="s">
        <v>1</v>
      </c>
      <c r="H1" s="3" t="s">
        <v>2</v>
      </c>
      <c r="I1" s="5" t="s">
        <v>3</v>
      </c>
      <c r="J1" s="5" t="s">
        <v>4</v>
      </c>
      <c r="K1" s="3" t="s">
        <v>5</v>
      </c>
    </row>
    <row r="2">
      <c r="A2">
        <v>25</v>
      </c>
      <c r="B2" s="1">
        <v>1000</v>
      </c>
      <c r="C2">
        <v>0.070000000000000007</v>
      </c>
      <c r="D2" s="2">
        <v>6500</v>
      </c>
      <c r="E2" s="2">
        <v>0</v>
      </c>
      <c r="G2" s="1">
        <v>1000</v>
      </c>
      <c r="H2" s="6">
        <v>0.070000000000000007</v>
      </c>
      <c r="I2" s="2">
        <v>5500</v>
      </c>
      <c r="J2" s="2">
        <v>0</v>
      </c>
      <c r="K2" s="6"/>
    </row>
    <row r="3">
      <c r="A3">
        <v>26</v>
      </c>
      <c r="B3" s="1">
        <f t="shared" ref="B3:B10" si="0">B2+B2*C2+D2</f>
        <v>7570</v>
      </c>
      <c r="C3">
        <v>0.070000000000000007</v>
      </c>
      <c r="D3" s="2">
        <v>6500</v>
      </c>
      <c r="E3" s="2">
        <v>0</v>
      </c>
      <c r="G3" s="1">
        <f>G2+G2*H2+I2</f>
        <v>6570</v>
      </c>
      <c r="H3" s="6">
        <v>0.070000000000000007</v>
      </c>
      <c r="I3" s="2">
        <v>5500</v>
      </c>
      <c r="J3" s="2">
        <v>0</v>
      </c>
      <c r="K3" s="6"/>
    </row>
    <row r="4">
      <c r="A4">
        <v>27</v>
      </c>
      <c r="B4" s="1">
        <f t="shared" si="0"/>
        <v>14599.9</v>
      </c>
      <c r="C4">
        <v>0.070000000000000007</v>
      </c>
      <c r="D4" s="2">
        <v>6500</v>
      </c>
      <c r="E4" s="2">
        <v>0</v>
      </c>
      <c r="G4" s="1">
        <f>G3+G3*H3+I3</f>
        <v>12529.9</v>
      </c>
      <c r="H4" s="6">
        <v>0.070000000000000007</v>
      </c>
      <c r="I4" s="2">
        <v>5500</v>
      </c>
      <c r="J4" s="2">
        <v>0</v>
      </c>
      <c r="K4" s="6"/>
    </row>
    <row r="5">
      <c r="A5">
        <v>28</v>
      </c>
      <c r="B5" s="1">
        <f t="shared" si="0"/>
        <v>22121.893</v>
      </c>
      <c r="C5">
        <v>0.070000000000000007</v>
      </c>
      <c r="D5" s="2">
        <v>6500</v>
      </c>
      <c r="E5" s="2">
        <v>0</v>
      </c>
      <c r="G5" s="1">
        <f>G4+G4*H4+I4</f>
        <v>18906.993000000002</v>
      </c>
      <c r="H5" s="6">
        <v>0.070000000000000007</v>
      </c>
      <c r="I5" s="2">
        <v>5500</v>
      </c>
      <c r="J5" s="2">
        <v>0</v>
      </c>
      <c r="K5" s="6"/>
    </row>
    <row r="6">
      <c r="A6">
        <v>29</v>
      </c>
      <c r="B6" s="1">
        <f t="shared" si="0"/>
        <v>30170.425510000001</v>
      </c>
      <c r="C6">
        <v>0.070000000000000007</v>
      </c>
      <c r="D6" s="2">
        <v>6500</v>
      </c>
      <c r="E6" s="2">
        <v>0</v>
      </c>
      <c r="G6" s="1">
        <f>G5+G5*H5+I5</f>
        <v>25730.482510000002</v>
      </c>
      <c r="H6" s="6">
        <v>0.070000000000000007</v>
      </c>
      <c r="I6" s="2">
        <v>5500</v>
      </c>
      <c r="J6" s="2">
        <v>0</v>
      </c>
      <c r="K6" s="6"/>
    </row>
    <row r="7">
      <c r="A7">
        <v>30</v>
      </c>
      <c r="B7" s="1">
        <f t="shared" si="0"/>
        <v>38782.355295699999</v>
      </c>
      <c r="C7">
        <v>0.070000000000000007</v>
      </c>
      <c r="D7" s="2">
        <v>6500</v>
      </c>
      <c r="E7" s="2">
        <v>0</v>
      </c>
      <c r="G7" s="1">
        <f>G6+G6*H6+I6</f>
        <v>33031.616285700002</v>
      </c>
      <c r="H7" s="6">
        <v>0.070000000000000007</v>
      </c>
      <c r="I7" s="2">
        <v>5500</v>
      </c>
      <c r="J7" s="2">
        <v>0</v>
      </c>
      <c r="K7" s="6"/>
    </row>
    <row r="8">
      <c r="A8">
        <v>31</v>
      </c>
      <c r="B8" s="1">
        <f t="shared" si="0"/>
        <v>47997.120166399</v>
      </c>
      <c r="C8">
        <v>0.070000000000000007</v>
      </c>
      <c r="D8" s="2">
        <v>6500</v>
      </c>
      <c r="E8" s="2">
        <v>0</v>
      </c>
      <c r="G8" s="1">
        <f>G7+G7*H7+I7</f>
        <v>40843.829425699005</v>
      </c>
      <c r="H8" s="6">
        <v>0.070000000000000007</v>
      </c>
      <c r="I8" s="2">
        <v>5500</v>
      </c>
      <c r="J8" s="2">
        <v>0</v>
      </c>
      <c r="K8" s="6"/>
    </row>
    <row r="9">
      <c r="A9">
        <v>32</v>
      </c>
      <c r="B9" s="1">
        <f t="shared" si="0"/>
        <v>57856.918578046927</v>
      </c>
      <c r="C9">
        <v>0.070000000000000007</v>
      </c>
      <c r="D9" s="2">
        <v>6500</v>
      </c>
      <c r="E9" s="2">
        <v>0</v>
      </c>
      <c r="G9" s="1">
        <f>G8+G8*H8+I8</f>
        <v>49202.897485497939</v>
      </c>
      <c r="H9" s="6">
        <v>0.070000000000000007</v>
      </c>
      <c r="I9" s="2">
        <v>5500</v>
      </c>
      <c r="J9" s="2">
        <v>0</v>
      </c>
      <c r="K9" s="6"/>
    </row>
    <row r="10">
      <c r="A10">
        <v>33</v>
      </c>
      <c r="B10" s="1">
        <f t="shared" si="0"/>
        <v>68406.902878510213</v>
      </c>
      <c r="C10">
        <v>0.070000000000000007</v>
      </c>
      <c r="D10" s="2">
        <v>6500</v>
      </c>
      <c r="E10" s="2">
        <v>0</v>
      </c>
      <c r="G10" s="1">
        <f>G9+G9*H9+I9</f>
        <v>58147.100309482797</v>
      </c>
      <c r="H10" s="6">
        <v>0.070000000000000007</v>
      </c>
      <c r="I10" s="2">
        <v>5500</v>
      </c>
      <c r="J10" s="2">
        <v>0</v>
      </c>
      <c r="K10" s="6"/>
    </row>
    <row r="11">
      <c r="A11">
        <v>34</v>
      </c>
      <c r="B11" s="1">
        <f t="shared" ref="B11:B41" si="1">B10+B10*C10+D10</f>
        <v>79695.386080005934</v>
      </c>
      <c r="C11">
        <v>0.070000000000000007</v>
      </c>
      <c r="D11" s="2">
        <v>6500</v>
      </c>
      <c r="E11" s="2">
        <v>0</v>
      </c>
      <c r="G11" s="1">
        <f>G10+G10*H10+I10</f>
        <v>67717.397331146596</v>
      </c>
      <c r="H11" s="6">
        <v>0.070000000000000007</v>
      </c>
      <c r="I11" s="2">
        <v>5500</v>
      </c>
      <c r="J11" s="2">
        <v>0</v>
      </c>
      <c r="K11" s="6"/>
    </row>
    <row r="12">
      <c r="A12">
        <v>35</v>
      </c>
      <c r="B12" s="1">
        <f t="shared" si="1"/>
        <v>91774.063105606343</v>
      </c>
      <c r="C12">
        <v>0.070000000000000007</v>
      </c>
      <c r="D12" s="2">
        <v>6500</v>
      </c>
      <c r="E12" s="2">
        <v>0</v>
      </c>
      <c r="G12" s="1">
        <f>G11+G11*H11+I11</f>
        <v>77957.615144326861</v>
      </c>
      <c r="H12" s="6">
        <v>0.070000000000000007</v>
      </c>
      <c r="I12" s="2">
        <v>5500</v>
      </c>
      <c r="J12" s="2">
        <v>0</v>
      </c>
      <c r="K12" s="6"/>
    </row>
    <row r="13">
      <c r="A13">
        <v>36</v>
      </c>
      <c r="B13" s="1">
        <f t="shared" si="1"/>
        <v>104698.24752299879</v>
      </c>
      <c r="C13">
        <v>0.070000000000000007</v>
      </c>
      <c r="D13" s="2">
        <v>6500</v>
      </c>
      <c r="E13" s="2">
        <v>0</v>
      </c>
      <c r="G13" s="1">
        <f>G12+G12*H12+I12</f>
        <v>88914.648204429745</v>
      </c>
      <c r="H13" s="6">
        <v>0.070000000000000007</v>
      </c>
      <c r="I13" s="2">
        <v>5500</v>
      </c>
      <c r="J13" s="2">
        <v>0</v>
      </c>
      <c r="K13" s="6"/>
    </row>
    <row r="14">
      <c r="A14">
        <v>37</v>
      </c>
      <c r="B14" s="1">
        <f t="shared" si="1"/>
        <v>118527.12484960871</v>
      </c>
      <c r="C14">
        <v>0.070000000000000007</v>
      </c>
      <c r="D14" s="2">
        <v>6500</v>
      </c>
      <c r="E14" s="2">
        <v>0</v>
      </c>
      <c r="G14" s="1">
        <f>G13+G13*H13+I13</f>
        <v>100638.67357873982</v>
      </c>
      <c r="H14" s="6">
        <v>0.070000000000000007</v>
      </c>
      <c r="I14" s="2">
        <v>5500</v>
      </c>
      <c r="J14" s="2">
        <v>0</v>
      </c>
      <c r="K14" s="6"/>
    </row>
    <row r="15">
      <c r="A15">
        <v>38</v>
      </c>
      <c r="B15" s="1">
        <f t="shared" si="1"/>
        <v>133324.02358908131</v>
      </c>
      <c r="C15">
        <v>0.070000000000000007</v>
      </c>
      <c r="D15" s="2">
        <v>6500</v>
      </c>
      <c r="E15" s="2">
        <v>0</v>
      </c>
      <c r="G15" s="1">
        <f>G14+G14*H14+I14</f>
        <v>113183.38072925161</v>
      </c>
      <c r="H15" s="6">
        <v>0.070000000000000007</v>
      </c>
      <c r="I15" s="2">
        <v>5500</v>
      </c>
      <c r="J15" s="2">
        <v>0</v>
      </c>
      <c r="K15" s="6"/>
    </row>
    <row r="16">
      <c r="A16">
        <v>39</v>
      </c>
      <c r="B16" s="1">
        <f t="shared" si="1"/>
        <v>149156.70524031701</v>
      </c>
      <c r="C16">
        <v>0.070000000000000007</v>
      </c>
      <c r="D16" s="2">
        <v>6500</v>
      </c>
      <c r="E16" s="2">
        <v>0</v>
      </c>
      <c r="G16" s="1">
        <f>G15+G15*H15+I15</f>
        <v>126606.21738029923</v>
      </c>
      <c r="H16" s="6">
        <v>0.070000000000000007</v>
      </c>
      <c r="I16" s="2">
        <v>5500</v>
      </c>
      <c r="J16" s="2">
        <v>0</v>
      </c>
      <c r="K16" s="6"/>
    </row>
    <row r="17">
      <c r="A17">
        <v>40</v>
      </c>
      <c r="B17" s="1">
        <f t="shared" si="1"/>
        <v>166097.6746071392</v>
      </c>
      <c r="C17">
        <v>0.070000000000000007</v>
      </c>
      <c r="D17" s="2">
        <v>6500</v>
      </c>
      <c r="E17" s="2">
        <v>0</v>
      </c>
      <c r="G17" s="1">
        <f>G16+G16*H16+I16</f>
        <v>140968.65259692018</v>
      </c>
      <c r="H17" s="6">
        <v>0.070000000000000007</v>
      </c>
      <c r="I17" s="2">
        <v>5500</v>
      </c>
      <c r="J17" s="2">
        <v>0</v>
      </c>
      <c r="K17" s="6"/>
    </row>
    <row r="18">
      <c r="A18">
        <v>41</v>
      </c>
      <c r="B18" s="1">
        <f t="shared" si="1"/>
        <v>184224.51182963894</v>
      </c>
      <c r="C18">
        <v>0.070000000000000007</v>
      </c>
      <c r="D18" s="2">
        <v>6500</v>
      </c>
      <c r="E18" s="2">
        <v>0</v>
      </c>
      <c r="G18" s="1">
        <f>G17+G17*H17+I17</f>
        <v>156336.45827870458</v>
      </c>
      <c r="H18" s="6">
        <v>0.070000000000000007</v>
      </c>
      <c r="I18" s="2">
        <v>5500</v>
      </c>
      <c r="J18" s="2">
        <v>0</v>
      </c>
      <c r="K18" s="6"/>
    </row>
    <row r="19">
      <c r="A19">
        <v>42</v>
      </c>
      <c r="B19" s="1">
        <f t="shared" si="1"/>
        <v>203620.22765771367</v>
      </c>
      <c r="C19">
        <v>0.070000000000000007</v>
      </c>
      <c r="D19" s="2">
        <v>6500</v>
      </c>
      <c r="E19" s="2">
        <v>0</v>
      </c>
      <c r="G19" s="1">
        <f>G18+G18*H18+I18</f>
        <v>172780.01035821391</v>
      </c>
      <c r="H19" s="6">
        <v>0.070000000000000007</v>
      </c>
      <c r="I19" s="2">
        <v>5500</v>
      </c>
      <c r="J19" s="2">
        <v>0</v>
      </c>
      <c r="K19" s="6"/>
    </row>
    <row r="20">
      <c r="A20">
        <v>43</v>
      </c>
      <c r="B20" s="1">
        <f t="shared" si="1"/>
        <v>224373.64359375363</v>
      </c>
      <c r="C20">
        <v>0.070000000000000007</v>
      </c>
      <c r="D20" s="2">
        <v>6500</v>
      </c>
      <c r="E20" s="2">
        <v>0</v>
      </c>
      <c r="G20" s="1">
        <f>G19+G19*H19+I19</f>
        <v>190374.61108328888</v>
      </c>
      <c r="H20" s="6">
        <v>0.070000000000000007</v>
      </c>
      <c r="I20" s="2">
        <v>5500</v>
      </c>
      <c r="J20" s="2">
        <v>0</v>
      </c>
      <c r="K20" s="6"/>
    </row>
    <row r="21">
      <c r="A21">
        <v>44</v>
      </c>
      <c r="B21" s="1">
        <f t="shared" si="1"/>
        <v>246579.79864531639</v>
      </c>
      <c r="C21">
        <v>0.070000000000000007</v>
      </c>
      <c r="D21" s="2">
        <v>6500</v>
      </c>
      <c r="E21" s="2">
        <v>0</v>
      </c>
      <c r="G21" s="1">
        <f>G20+G20*H20+I20</f>
        <v>209200.8338591191</v>
      </c>
      <c r="H21" s="6">
        <v>0.070000000000000007</v>
      </c>
      <c r="I21" s="2">
        <v>5500</v>
      </c>
      <c r="J21" s="2">
        <v>0</v>
      </c>
      <c r="K21" s="6"/>
    </row>
    <row r="22">
      <c r="A22">
        <v>45</v>
      </c>
      <c r="B22" s="1">
        <f t="shared" si="1"/>
        <v>270340.38455048855</v>
      </c>
      <c r="C22">
        <v>0.069999999999999937</v>
      </c>
      <c r="D22" s="2">
        <v>6500</v>
      </c>
      <c r="E22" s="2">
        <v>0</v>
      </c>
      <c r="G22" s="1">
        <f>G21+G21*H21+I21</f>
        <v>229344.89222925744</v>
      </c>
      <c r="H22" s="6">
        <v>0.069999999999999937</v>
      </c>
      <c r="I22" s="2">
        <v>5500</v>
      </c>
      <c r="J22" s="2">
        <v>0</v>
      </c>
      <c r="K22" s="6"/>
    </row>
    <row r="23">
      <c r="A23">
        <v>46</v>
      </c>
      <c r="B23" s="1">
        <f t="shared" si="1"/>
        <v>295764.21146902273</v>
      </c>
      <c r="C23">
        <v>0.069999999999999923</v>
      </c>
      <c r="D23" s="2">
        <v>6500</v>
      </c>
      <c r="E23" s="2">
        <v>0</v>
      </c>
      <c r="G23" s="1">
        <f>G22+G22*H22+I22</f>
        <v>250899.03468530544</v>
      </c>
      <c r="H23" s="6">
        <v>0.069999999999999923</v>
      </c>
      <c r="I23" s="2">
        <v>5500</v>
      </c>
      <c r="J23" s="2">
        <v>0</v>
      </c>
      <c r="K23" s="6"/>
    </row>
    <row r="24">
      <c r="A24">
        <v>47</v>
      </c>
      <c r="B24" s="1">
        <f t="shared" si="1"/>
        <v>322967.70627185429</v>
      </c>
      <c r="C24">
        <v>0.06999999999999991</v>
      </c>
      <c r="D24" s="2">
        <v>6500</v>
      </c>
      <c r="E24" s="2">
        <v>0</v>
      </c>
      <c r="G24" s="1">
        <f>G23+G23*H23+I23</f>
        <v>273961.96711327683</v>
      </c>
      <c r="H24" s="6">
        <v>0.06999999999999991</v>
      </c>
      <c r="I24" s="2">
        <v>5500</v>
      </c>
      <c r="J24" s="2">
        <v>0</v>
      </c>
      <c r="K24" s="6"/>
    </row>
    <row r="25">
      <c r="A25">
        <v>48</v>
      </c>
      <c r="B25" s="1">
        <f t="shared" si="1"/>
        <v>352075.44571088406</v>
      </c>
      <c r="C25">
        <v>0.06999999999999991</v>
      </c>
      <c r="D25" s="2">
        <v>6500</v>
      </c>
      <c r="E25" s="2">
        <v>0</v>
      </c>
      <c r="G25" s="1">
        <f>G24+G24*H24+I24</f>
        <v>298639.30481120618</v>
      </c>
      <c r="H25" s="6">
        <v>0.06999999999999991</v>
      </c>
      <c r="I25" s="2">
        <v>5500</v>
      </c>
      <c r="J25" s="2">
        <v>0</v>
      </c>
      <c r="K25" s="6"/>
    </row>
    <row r="26">
      <c r="A26">
        <v>49</v>
      </c>
      <c r="B26" s="1">
        <f t="shared" si="1"/>
        <v>383220.7269106459</v>
      </c>
      <c r="C26">
        <v>0.069999999999999896</v>
      </c>
      <c r="D26" s="2">
        <v>6500</v>
      </c>
      <c r="E26" s="2">
        <v>0</v>
      </c>
      <c r="G26" s="1">
        <f>G25+G25*H25+I25</f>
        <v>325044.05614799057</v>
      </c>
      <c r="H26" s="6">
        <v>0.069999999999999896</v>
      </c>
      <c r="I26" s="2">
        <v>5500</v>
      </c>
      <c r="J26" s="2">
        <v>0</v>
      </c>
      <c r="K26" s="6"/>
    </row>
    <row r="27">
      <c r="A27">
        <v>50</v>
      </c>
      <c r="B27" s="1">
        <f t="shared" si="1"/>
        <v>416546.17779439106</v>
      </c>
      <c r="C27">
        <v>0.069999999999999896</v>
      </c>
      <c r="D27" s="2">
        <v>6500</v>
      </c>
      <c r="E27" s="2">
        <v>0</v>
      </c>
      <c r="G27" s="1">
        <f>G26+G26*H26+I26</f>
        <v>353297.14007834985</v>
      </c>
      <c r="H27" s="6">
        <v>0.069999999999999896</v>
      </c>
      <c r="I27" s="2">
        <v>5500</v>
      </c>
      <c r="J27" s="2">
        <v>0</v>
      </c>
      <c r="K27" s="6"/>
    </row>
    <row r="28">
      <c r="A28">
        <v>51</v>
      </c>
      <c r="B28" s="1">
        <f t="shared" si="1"/>
        <v>452204.41023999837</v>
      </c>
      <c r="C28">
        <v>0.069999999999999882</v>
      </c>
      <c r="D28" s="2">
        <v>6500</v>
      </c>
      <c r="E28" s="2">
        <v>0</v>
      </c>
      <c r="G28" s="1">
        <f>G27+G27*H27+I27</f>
        <v>383527.93988383433</v>
      </c>
      <c r="H28" s="6">
        <v>0.069999999999999882</v>
      </c>
      <c r="I28" s="2">
        <v>5500</v>
      </c>
      <c r="J28" s="2">
        <v>0</v>
      </c>
      <c r="K28" s="6"/>
    </row>
    <row r="29">
      <c r="A29">
        <v>52</v>
      </c>
      <c r="B29" s="1">
        <f t="shared" si="1"/>
        <v>490358.7189567982</v>
      </c>
      <c r="C29">
        <v>0.069999999999999868</v>
      </c>
      <c r="D29" s="2">
        <v>6500</v>
      </c>
      <c r="E29" s="2">
        <v>0</v>
      </c>
      <c r="G29" s="1">
        <f>G28+G28*H28+I28</f>
        <v>415874.89567570272</v>
      </c>
      <c r="H29" s="6">
        <v>0.069999999999999868</v>
      </c>
      <c r="I29" s="2">
        <v>5500</v>
      </c>
      <c r="J29" s="2">
        <v>0</v>
      </c>
      <c r="K29" s="6"/>
    </row>
    <row r="30">
      <c r="A30">
        <v>53</v>
      </c>
      <c r="B30" s="1">
        <f t="shared" si="1"/>
        <v>531183.82928377402</v>
      </c>
      <c r="C30">
        <v>0.069999999999999868</v>
      </c>
      <c r="D30" s="2">
        <v>6500</v>
      </c>
      <c r="E30" s="2">
        <v>0</v>
      </c>
      <c r="G30" s="1">
        <f>G29+G29*H29+I29</f>
        <v>450486.13837300183</v>
      </c>
      <c r="H30" s="6">
        <v>0.069999999999999868</v>
      </c>
      <c r="I30" s="2">
        <v>5500</v>
      </c>
      <c r="J30" s="2">
        <v>0</v>
      </c>
      <c r="K30" s="6"/>
    </row>
    <row r="31">
      <c r="A31">
        <v>54</v>
      </c>
      <c r="B31" s="1">
        <f t="shared" si="1"/>
        <v>574866.69733363809</v>
      </c>
      <c r="C31">
        <v>0.069999999999999854</v>
      </c>
      <c r="D31" s="2">
        <v>6500</v>
      </c>
      <c r="E31" s="2">
        <v>0</v>
      </c>
      <c r="G31" s="1">
        <f>G30+G30*H30+I30</f>
        <v>487520.16805911192</v>
      </c>
      <c r="H31" s="6">
        <v>0.069999999999999854</v>
      </c>
      <c r="I31" s="2">
        <v>5500</v>
      </c>
      <c r="J31" s="2">
        <v>0</v>
      </c>
      <c r="K31" s="6"/>
    </row>
    <row r="32">
      <c r="A32">
        <v>55</v>
      </c>
      <c r="B32" s="1">
        <f t="shared" si="1"/>
        <v>621607.36614699266</v>
      </c>
      <c r="C32">
        <v>0.069999999999999854</v>
      </c>
      <c r="D32" s="2">
        <v>6500</v>
      </c>
      <c r="E32" s="2">
        <v>0</v>
      </c>
      <c r="G32" s="1">
        <f>G31+G31*H31+I31</f>
        <v>527146.57982324972</v>
      </c>
      <c r="H32" s="6">
        <v>0.069999999999999854</v>
      </c>
      <c r="I32" s="2">
        <v>5500</v>
      </c>
      <c r="J32" s="2">
        <v>0</v>
      </c>
      <c r="K32" s="6"/>
    </row>
    <row r="33">
      <c r="A33">
        <v>56</v>
      </c>
      <c r="B33" s="1">
        <f t="shared" si="1"/>
        <v>671619.88177728211</v>
      </c>
      <c r="C33">
        <v>0.06999999999999984</v>
      </c>
      <c r="D33" s="2">
        <v>6500</v>
      </c>
      <c r="E33" s="2">
        <v>0</v>
      </c>
      <c r="G33" s="1">
        <f>G32+G32*H32+I32</f>
        <v>569546.84041087714</v>
      </c>
      <c r="H33" s="6">
        <v>0.06999999999999984</v>
      </c>
      <c r="I33" s="2">
        <v>5500</v>
      </c>
      <c r="J33" s="2">
        <v>0</v>
      </c>
      <c r="K33" s="6"/>
    </row>
    <row r="34">
      <c r="A34">
        <v>57</v>
      </c>
      <c r="B34" s="1">
        <f t="shared" si="1"/>
        <v>725133.27350169176</v>
      </c>
      <c r="C34">
        <v>0.069999999999999826</v>
      </c>
      <c r="D34" s="2">
        <v>6500</v>
      </c>
      <c r="E34" s="2">
        <v>0</v>
      </c>
      <c r="G34" s="1">
        <f>G33+G33*H33+I33</f>
        <v>614915.11923963844</v>
      </c>
      <c r="H34" s="6">
        <v>0.069999999999999826</v>
      </c>
      <c r="I34" s="2">
        <v>5500</v>
      </c>
      <c r="J34" s="2">
        <v>0</v>
      </c>
      <c r="K34" s="6"/>
    </row>
    <row r="35">
      <c r="A35">
        <v>58</v>
      </c>
      <c r="B35" s="1">
        <f t="shared" si="1"/>
        <v>782392.60264681</v>
      </c>
      <c r="C35">
        <v>0.069999999999999826</v>
      </c>
      <c r="D35" s="2">
        <v>6500</v>
      </c>
      <c r="E35" s="2">
        <v>0</v>
      </c>
      <c r="G35" s="1">
        <f>G34+G34*H34+I34</f>
        <v>663459.17758641299</v>
      </c>
      <c r="H35" s="6">
        <v>0.069999999999999826</v>
      </c>
      <c r="I35" s="2">
        <v>5500</v>
      </c>
      <c r="J35" s="2">
        <v>0</v>
      </c>
      <c r="K35" s="6"/>
    </row>
    <row r="36">
      <c r="A36">
        <v>59</v>
      </c>
      <c r="B36" s="1">
        <f t="shared" si="1"/>
        <v>843660.08483208658</v>
      </c>
      <c r="C36">
        <v>0.069999999999999812</v>
      </c>
      <c r="D36" s="2">
        <v>6500</v>
      </c>
      <c r="E36" s="2">
        <v>0</v>
      </c>
      <c r="G36" s="1">
        <f>G35+G35*H35+I35</f>
        <v>715401.32001746178</v>
      </c>
      <c r="H36" s="6">
        <v>0.069999999999999812</v>
      </c>
      <c r="I36" s="2">
        <v>5500</v>
      </c>
      <c r="J36" s="2">
        <v>0</v>
      </c>
      <c r="K36" s="6"/>
    </row>
    <row r="37">
      <c r="A37">
        <v>60</v>
      </c>
      <c r="B37" s="1">
        <f t="shared" si="1"/>
        <v>909216.29077033245</v>
      </c>
      <c r="C37">
        <v>0.069999999999999812</v>
      </c>
      <c r="D37" s="2">
        <v>6500</v>
      </c>
      <c r="E37" s="2">
        <v>0</v>
      </c>
      <c r="G37" s="1">
        <f>G36+G36*H36+I36</f>
        <v>770979.41241868399</v>
      </c>
      <c r="H37" s="6">
        <v>0.069999999999999812</v>
      </c>
      <c r="I37" s="2">
        <v>5500</v>
      </c>
      <c r="J37" s="2">
        <v>0</v>
      </c>
      <c r="K37" s="6"/>
    </row>
    <row r="38">
      <c r="A38">
        <v>61</v>
      </c>
      <c r="B38" s="1">
        <f t="shared" si="1"/>
        <v>979361.43112425553</v>
      </c>
      <c r="C38">
        <v>0.069999999999999798</v>
      </c>
      <c r="D38" s="2">
        <v>6500</v>
      </c>
      <c r="E38" s="2">
        <v>0</v>
      </c>
      <c r="G38" s="1">
        <f>G37+G37*H37+I37</f>
        <v>830447.97128799174</v>
      </c>
      <c r="H38" s="6">
        <v>0.069999999999999798</v>
      </c>
      <c r="I38" s="2">
        <v>5500</v>
      </c>
      <c r="J38" s="2">
        <v>0</v>
      </c>
      <c r="K38" s="6"/>
    </row>
    <row r="39">
      <c r="A39">
        <v>62</v>
      </c>
      <c r="B39" s="1">
        <f t="shared" si="1"/>
        <v>1054416.7313029533</v>
      </c>
      <c r="C39">
        <v>0.069999999999999798</v>
      </c>
      <c r="D39" s="2">
        <v>6500</v>
      </c>
      <c r="E39" s="2">
        <v>0</v>
      </c>
      <c r="G39" s="1">
        <f>G38+G38*H38+I38</f>
        <v>894079.32927815104</v>
      </c>
      <c r="H39" s="6">
        <v>0.069999999999999798</v>
      </c>
      <c r="I39" s="2">
        <v>5500</v>
      </c>
      <c r="J39" s="2">
        <v>0</v>
      </c>
      <c r="K39" s="6"/>
    </row>
    <row r="40">
      <c r="A40">
        <v>63</v>
      </c>
      <c r="B40" s="1">
        <f t="shared" si="1"/>
        <v>1134725.9024941598</v>
      </c>
      <c r="C40">
        <v>0.069999999999999785</v>
      </c>
      <c r="D40" s="2">
        <v>6500</v>
      </c>
      <c r="E40" s="2">
        <v>0</v>
      </c>
      <c r="G40" s="1">
        <f>G39+G39*H39+I39</f>
        <v>962164.88232762145</v>
      </c>
      <c r="H40" s="6">
        <v>0.069999999999999785</v>
      </c>
      <c r="I40" s="2">
        <v>5500</v>
      </c>
      <c r="J40" s="2">
        <v>0</v>
      </c>
      <c r="K40" s="6"/>
    </row>
    <row r="41">
      <c r="A41">
        <v>64</v>
      </c>
      <c r="B41" s="1">
        <f t="shared" si="1"/>
        <v>1220656.7156687507</v>
      </c>
      <c r="C41">
        <v>0.069999999999999785</v>
      </c>
      <c r="D41" s="2">
        <v>6500</v>
      </c>
      <c r="E41" s="2">
        <v>0</v>
      </c>
      <c r="G41" s="1">
        <f>G40+G40*H40+I40</f>
        <v>1035016.4240905547</v>
      </c>
      <c r="H41" s="6">
        <v>0.069999999999999785</v>
      </c>
      <c r="I41" s="2">
        <v>5500</v>
      </c>
      <c r="J41" s="2">
        <v>0</v>
      </c>
      <c r="K41" s="6"/>
    </row>
    <row r="42">
      <c r="A42">
        <v>65</v>
      </c>
      <c r="B42" s="1">
        <f t="shared" ref="B42:B77" si="2">B41+B41*C41-E42</f>
        <v>1257276.4171388131</v>
      </c>
      <c r="C42">
        <v>0.029999999999999999</v>
      </c>
      <c r="E42" s="2">
        <f t="shared" ref="E42:E77" si="3">B41/F42</f>
        <v>48826.268626750025</v>
      </c>
      <c r="F42">
        <v>25</v>
      </c>
      <c r="G42" s="1">
        <f>G41+G41*H41-J42</f>
        <v>1066066.9168132711</v>
      </c>
      <c r="H42" s="6">
        <v>0.029999999999999999</v>
      </c>
      <c r="I42" s="2"/>
      <c r="J42" s="2">
        <f>G41/K42</f>
        <v>41400.65696362219</v>
      </c>
      <c r="K42" s="6">
        <v>25</v>
      </c>
    </row>
    <row r="43">
      <c r="A43">
        <v>66</v>
      </c>
      <c r="B43" s="1">
        <f t="shared" si="2"/>
        <v>1243677.3048718015</v>
      </c>
      <c r="C43">
        <v>0.029999999999999999</v>
      </c>
      <c r="E43" s="2">
        <f t="shared" si="3"/>
        <v>51317.404781176047</v>
      </c>
      <c r="F43">
        <v>24.5</v>
      </c>
      <c r="G43" s="1">
        <f>G42+G42*H42-J43</f>
        <v>1054535.9889375358</v>
      </c>
      <c r="H43" s="6">
        <v>0.029999999999999999</v>
      </c>
      <c r="I43" s="2"/>
      <c r="J43" s="2">
        <f>G42/K43</f>
        <v>43512.935380133516</v>
      </c>
      <c r="K43" s="6">
        <v>24.5</v>
      </c>
    </row>
    <row r="44">
      <c r="A44">
        <v>67</v>
      </c>
      <c r="B44" s="1">
        <f t="shared" si="2"/>
        <v>1229167.7363149638</v>
      </c>
      <c r="C44">
        <v>0.029999999999999999</v>
      </c>
      <c r="E44" s="2">
        <f t="shared" si="3"/>
        <v>51819.887702991728</v>
      </c>
      <c r="F44">
        <v>24</v>
      </c>
      <c r="G44" s="1">
        <f>G43+G43*H43-J44</f>
        <v>1042233.0690665978</v>
      </c>
      <c r="H44" s="6">
        <v>0.029999999999999999</v>
      </c>
      <c r="I44" s="2"/>
      <c r="J44" s="2">
        <f>G43/K44</f>
        <v>43938.999539063989</v>
      </c>
      <c r="K44" s="6">
        <v>24</v>
      </c>
    </row>
    <row r="45">
      <c r="A45">
        <v>68</v>
      </c>
      <c r="B45" s="1">
        <f t="shared" si="2"/>
        <v>1213737.7583484568</v>
      </c>
      <c r="C45">
        <v>0.029999999999999999</v>
      </c>
      <c r="E45" s="2">
        <f t="shared" si="3"/>
        <v>52305.010055955907</v>
      </c>
      <c r="F45">
        <v>23.5</v>
      </c>
      <c r="G45" s="1">
        <f>G44+G44*H44-J45</f>
        <v>1029149.7177740596</v>
      </c>
      <c r="H45" s="6">
        <v>0.029999999999999999</v>
      </c>
      <c r="I45" s="2"/>
      <c r="J45" s="2">
        <f>G44/K45</f>
        <v>44350.343364536078</v>
      </c>
      <c r="K45" s="6">
        <v>23.5</v>
      </c>
    </row>
    <row r="46">
      <c r="A46">
        <v>69</v>
      </c>
      <c r="B46" s="1">
        <f t="shared" si="2"/>
        <v>1197378.684214195</v>
      </c>
      <c r="C46">
        <v>0.029999999999999999</v>
      </c>
      <c r="E46" s="2">
        <f t="shared" si="3"/>
        <v>52771.206884715517</v>
      </c>
      <c r="F46">
        <v>23</v>
      </c>
      <c r="G46" s="1">
        <f>G45+G45*H45-J46</f>
        <v>1015278.5694040613</v>
      </c>
      <c r="H46" s="6">
        <v>0.029999999999999999</v>
      </c>
      <c r="I46" s="2"/>
      <c r="J46" s="2">
        <f>G45/K46</f>
        <v>44745.639903219984</v>
      </c>
      <c r="K46" s="6">
        <v>23</v>
      </c>
    </row>
    <row r="47">
      <c r="A47">
        <v>70</v>
      </c>
      <c r="B47" s="1">
        <f t="shared" si="2"/>
        <v>1180083.2143311009</v>
      </c>
      <c r="C47">
        <v>0.029999999999999999</v>
      </c>
      <c r="E47" s="2">
        <f t="shared" si="3"/>
        <v>53216.830409519775</v>
      </c>
      <c r="F47">
        <v>22.5</v>
      </c>
      <c r="G47" s="1">
        <f>G46+G46*H46-J47</f>
        <v>1000613.4345126693</v>
      </c>
      <c r="H47" s="6">
        <v>0.029999999999999999</v>
      </c>
      <c r="I47" s="2"/>
      <c r="J47" s="2">
        <f>G46/K47</f>
        <v>45123.491973513839</v>
      </c>
      <c r="K47" s="6">
        <v>22.5</v>
      </c>
    </row>
    <row r="48">
      <c r="A48">
        <v>71</v>
      </c>
      <c r="B48" s="1">
        <f t="shared" si="2"/>
        <v>1161845.5646550748</v>
      </c>
      <c r="C48">
        <v>0.029999999999999999</v>
      </c>
      <c r="E48" s="2">
        <f t="shared" si="3"/>
        <v>53640.146105959131</v>
      </c>
      <c r="F48">
        <v>22</v>
      </c>
      <c r="G48" s="1">
        <f>G47+G47*H47-J48</f>
        <v>985149.40870656446</v>
      </c>
      <c r="H48" s="6">
        <v>0.029999999999999999</v>
      </c>
      <c r="I48" s="2"/>
      <c r="J48" s="2">
        <f>G47/K48</f>
        <v>45482.428841484973</v>
      </c>
      <c r="K48" s="6">
        <v>22</v>
      </c>
    </row>
    <row r="49">
      <c r="A49">
        <v>72</v>
      </c>
      <c r="B49" s="1">
        <f t="shared" si="2"/>
        <v>1142661.6030061189</v>
      </c>
      <c r="C49">
        <v>0.029999999999999999</v>
      </c>
      <c r="E49" s="2">
        <f t="shared" si="3"/>
        <v>54039.328588608136</v>
      </c>
      <c r="F49">
        <v>21.5</v>
      </c>
      <c r="G49" s="1">
        <f>G48+G48*H48-J49</f>
        <v>968882.98823722347</v>
      </c>
      <c r="H49" s="6">
        <v>0.029999999999999999</v>
      </c>
      <c r="I49" s="2"/>
      <c r="J49" s="2">
        <f>G48/K49</f>
        <v>45820.902730537884</v>
      </c>
      <c r="K49" s="6">
        <v>21.5</v>
      </c>
    </row>
    <row r="50">
      <c r="A50">
        <v>73</v>
      </c>
      <c r="B50" s="1">
        <f t="shared" si="2"/>
        <v>1122528.9938102968</v>
      </c>
      <c r="C50">
        <v>0.029999999999999999</v>
      </c>
      <c r="E50" s="2">
        <f t="shared" si="3"/>
        <v>54412.457286005665</v>
      </c>
      <c r="F50">
        <v>21</v>
      </c>
      <c r="G50" s="1">
        <f>G49+G49*H49-J50</f>
        <v>951812.19273018674</v>
      </c>
      <c r="H50" s="6">
        <v>0.029999999999999999</v>
      </c>
      <c r="I50" s="2"/>
      <c r="J50" s="2">
        <f>G49/K50</f>
        <v>46137.285154153498</v>
      </c>
      <c r="K50" s="6">
        <v>21</v>
      </c>
    </row>
    <row r="51">
      <c r="A51">
        <v>74</v>
      </c>
      <c r="B51" s="1">
        <f t="shared" si="2"/>
        <v>1101447.3517314205</v>
      </c>
      <c r="C51">
        <v>0.029999999999999999</v>
      </c>
      <c r="E51" s="2">
        <f t="shared" si="3"/>
        <v>54757.511893185205</v>
      </c>
      <c r="F51">
        <v>20.5</v>
      </c>
      <c r="G51" s="1">
        <f>G50+G50*H50-J51</f>
        <v>933936.69545208325</v>
      </c>
      <c r="H51" s="6">
        <v>0.029999999999999999</v>
      </c>
      <c r="I51" s="2"/>
      <c r="J51" s="2">
        <f>G50/K51</f>
        <v>46429.863060009113</v>
      </c>
      <c r="K51" s="6">
        <v>20.5</v>
      </c>
    </row>
    <row r="52">
      <c r="A52">
        <v>75</v>
      </c>
      <c r="B52" s="1">
        <f t="shared" si="2"/>
        <v>1079418.4046967921</v>
      </c>
      <c r="C52">
        <v>0.029999999999999999</v>
      </c>
      <c r="E52" s="2">
        <f t="shared" si="3"/>
        <v>55072.367586571025</v>
      </c>
      <c r="F52">
        <v>20</v>
      </c>
      <c r="G52" s="1">
        <f>G51+G51*H51-J52</f>
        <v>915257.96154304163</v>
      </c>
      <c r="H52" s="6">
        <v>0.029999999999999999</v>
      </c>
      <c r="I52" s="2"/>
      <c r="J52" s="2">
        <f>G51/K52</f>
        <v>46696.834772604161</v>
      </c>
      <c r="K52" s="6">
        <v>20</v>
      </c>
    </row>
    <row r="53">
      <c r="A53">
        <v>76</v>
      </c>
      <c r="B53" s="1">
        <f t="shared" si="2"/>
        <v>1056446.1668532449</v>
      </c>
      <c r="C53">
        <v>0.029999999999999999</v>
      </c>
      <c r="E53" s="2">
        <f t="shared" si="3"/>
        <v>55354.789984450879</v>
      </c>
      <c r="F53">
        <v>19.5</v>
      </c>
      <c r="G53" s="1">
        <f>G52+G52*H52-J53</f>
        <v>895779.39466917689</v>
      </c>
      <c r="H53" s="6">
        <v>0.029999999999999999</v>
      </c>
      <c r="I53" s="2"/>
      <c r="J53" s="2">
        <f>G52/K53</f>
        <v>46936.305720155979</v>
      </c>
      <c r="K53" s="6">
        <v>19.5</v>
      </c>
    </row>
    <row r="54">
      <c r="A54">
        <v>77</v>
      </c>
      <c r="B54" s="1">
        <f t="shared" si="2"/>
        <v>1032537.1220244608</v>
      </c>
      <c r="C54">
        <v>0.029999999999999999</v>
      </c>
      <c r="E54" s="2">
        <f t="shared" si="3"/>
        <v>55602.429834381306</v>
      </c>
      <c r="F54">
        <v>19</v>
      </c>
      <c r="G54" s="1">
        <f>G53+G53*H53-J54</f>
        <v>875506.49257929542</v>
      </c>
      <c r="H54" s="6">
        <v>0.029999999999999999</v>
      </c>
      <c r="I54" s="2"/>
      <c r="J54" s="2">
        <f>G53/K54</f>
        <v>47146.283929956677</v>
      </c>
      <c r="K54" s="6">
        <v>19</v>
      </c>
    </row>
    <row r="55">
      <c r="A55">
        <v>78</v>
      </c>
      <c r="B55" s="1">
        <f t="shared" si="2"/>
        <v>1007700.418278467</v>
      </c>
      <c r="C55">
        <v>0.029999999999999999</v>
      </c>
      <c r="E55" s="2">
        <f t="shared" si="3"/>
        <v>55812.817406727612</v>
      </c>
      <c r="F55">
        <v>18.5</v>
      </c>
      <c r="G55" s="1">
        <f>G54+G54*H54-J55</f>
        <v>854447.01208211773</v>
      </c>
      <c r="H55" s="6">
        <v>0.029999999999999999</v>
      </c>
      <c r="I55" s="2"/>
      <c r="J55" s="2">
        <f>G54/K55</f>
        <v>47324.67527455651</v>
      </c>
      <c r="K55" s="6">
        <v>18.5</v>
      </c>
    </row>
    <row r="56">
      <c r="A56">
        <v>79</v>
      </c>
      <c r="B56" s="1">
        <f t="shared" si="2"/>
        <v>981948.0742557951</v>
      </c>
      <c r="C56">
        <v>0.029999999999999999</v>
      </c>
      <c r="E56" s="2">
        <f t="shared" si="3"/>
        <v>55983.356571025943</v>
      </c>
      <c r="F56">
        <v>18</v>
      </c>
      <c r="G56" s="1">
        <f>G55+G55*H55-J56</f>
        <v>832611.14399557479</v>
      </c>
      <c r="H56" s="6">
        <v>0.029999999999999999</v>
      </c>
      <c r="I56" s="2"/>
      <c r="J56" s="2">
        <f>G55/K56</f>
        <v>47469.278449006539</v>
      </c>
      <c r="K56" s="6">
        <v>18</v>
      </c>
    </row>
    <row r="57">
      <c r="A57">
        <v>80</v>
      </c>
      <c r="B57" s="1">
        <f t="shared" si="2"/>
        <v>955295.19795456633</v>
      </c>
      <c r="C57">
        <v>0.029999999999999999</v>
      </c>
      <c r="E57" s="2">
        <f t="shared" si="3"/>
        <v>56111.318528902579</v>
      </c>
      <c r="F57">
        <v>17.5</v>
      </c>
      <c r="G57" s="1">
        <f>G56+G56*H56-J57</f>
        <v>810011.69865855202</v>
      </c>
      <c r="H57" s="6">
        <v>0.029999999999999999</v>
      </c>
      <c r="I57" s="2"/>
      <c r="J57" s="2">
        <f>G56/K57</f>
        <v>47577.779656889987</v>
      </c>
      <c r="K57" s="6">
        <v>17.5</v>
      </c>
    </row>
    <row r="58">
      <c r="A58">
        <v>81</v>
      </c>
      <c r="B58" s="1">
        <f t="shared" si="2"/>
        <v>927760.21871940535</v>
      </c>
      <c r="C58">
        <v>0.029999999999999999</v>
      </c>
      <c r="E58" s="2">
        <f t="shared" si="3"/>
        <v>56193.835173798019</v>
      </c>
      <c r="F58">
        <v>17</v>
      </c>
      <c r="G58" s="1">
        <f>G57+G57*H57-J58</f>
        <v>786664.30263839371</v>
      </c>
      <c r="H58" s="6">
        <v>0.029999999999999999</v>
      </c>
      <c r="I58" s="2"/>
      <c r="J58" s="2">
        <f>G57/K58</f>
        <v>47647.746979914824</v>
      </c>
      <c r="K58" s="6">
        <v>17</v>
      </c>
    </row>
    <row r="59">
      <c r="A59">
        <v>82</v>
      </c>
      <c r="B59" s="1">
        <f t="shared" si="2"/>
        <v>899365.13323738717</v>
      </c>
      <c r="C59">
        <v>0.029999999999999999</v>
      </c>
      <c r="E59" s="2">
        <f t="shared" si="3"/>
        <v>56227.892043600325</v>
      </c>
      <c r="F59">
        <v>16.5</v>
      </c>
      <c r="G59" s="1">
        <f>G58+G58*H58-J59</f>
        <v>762587.60731521866</v>
      </c>
      <c r="H59" s="6">
        <v>0.029999999999999999</v>
      </c>
      <c r="I59" s="2"/>
      <c r="J59" s="2">
        <f>G58/K59</f>
        <v>47676.624402326888</v>
      </c>
      <c r="K59" s="6">
        <v>16.5</v>
      </c>
    </row>
    <row r="60">
      <c r="A60">
        <v>83</v>
      </c>
      <c r="B60" s="1">
        <f t="shared" si="2"/>
        <v>870135.76640717208</v>
      </c>
      <c r="C60">
        <v>0.029999999999999999</v>
      </c>
      <c r="E60" s="2">
        <f t="shared" si="3"/>
        <v>56210.320827336698</v>
      </c>
      <c r="F60">
        <v>16</v>
      </c>
      <c r="G60" s="1">
        <f>G59+G59*H59-J60</f>
        <v>737803.51007747406</v>
      </c>
      <c r="H60" s="6">
        <v>0.029999999999999999</v>
      </c>
      <c r="I60" s="2"/>
      <c r="J60" s="2">
        <f>G59/K60</f>
        <v>47661.725457201166</v>
      </c>
      <c r="K60" s="6">
        <v>16</v>
      </c>
    </row>
    <row r="61">
      <c r="A61">
        <v>84</v>
      </c>
      <c r="B61" s="1">
        <f t="shared" si="2"/>
        <v>840102.04801827937</v>
      </c>
      <c r="C61">
        <v>0.029999999999999999</v>
      </c>
      <c r="E61" s="2">
        <f t="shared" si="3"/>
        <v>56137.791381107876</v>
      </c>
      <c r="F61">
        <v>15.5</v>
      </c>
      <c r="G61" s="1">
        <f>G60+G60*H60-J61</f>
        <v>712337.38892318704</v>
      </c>
      <c r="H61" s="6">
        <v>0.029999999999999999</v>
      </c>
      <c r="I61" s="2"/>
      <c r="J61" s="2">
        <f>G60/K61</f>
        <v>47600.226456611228</v>
      </c>
      <c r="K61" s="6">
        <v>15.5</v>
      </c>
    </row>
    <row r="62">
      <c r="A62">
        <v>85</v>
      </c>
      <c r="B62" s="1">
        <f t="shared" si="2"/>
        <v>809298.30625760916</v>
      </c>
      <c r="C62">
        <v>0.029999999999999999</v>
      </c>
      <c r="E62" s="2">
        <f t="shared" si="3"/>
        <v>56006.803201218623</v>
      </c>
      <c r="F62">
        <v>15</v>
      </c>
      <c r="G62" s="1">
        <f>G61+G61*H61-J62</f>
        <v>686218.35132933687</v>
      </c>
      <c r="H62" s="6">
        <v>0.029999999999999999</v>
      </c>
      <c r="I62" s="2"/>
      <c r="J62" s="2">
        <f>G61/K62</f>
        <v>47489.159261545799</v>
      </c>
      <c r="K62" s="6">
        <v>15</v>
      </c>
    </row>
    <row r="63">
      <c r="A63">
        <v>86</v>
      </c>
      <c r="B63" s="1">
        <f t="shared" si="2"/>
        <v>777763.57915170921</v>
      </c>
      <c r="C63">
        <v>0.029999999999999999</v>
      </c>
      <c r="E63" s="2">
        <f t="shared" si="3"/>
        <v>55813.676293628218</v>
      </c>
      <c r="F63">
        <v>14.5</v>
      </c>
      <c r="G63" s="1">
        <f>G62+G62*H62-J63</f>
        <v>659479.49832926271</v>
      </c>
      <c r="H63" s="6">
        <v>0.029999999999999999</v>
      </c>
      <c r="I63" s="2"/>
      <c r="J63" s="2">
        <f>G62/K63</f>
        <v>47325.40353995427</v>
      </c>
      <c r="K63" s="6">
        <v>14.5</v>
      </c>
    </row>
    <row r="64">
      <c r="A64">
        <v>87</v>
      </c>
      <c r="B64" s="1">
        <f t="shared" si="2"/>
        <v>745541.94515828125</v>
      </c>
      <c r="C64">
        <v>0.029999999999999999</v>
      </c>
      <c r="E64" s="2">
        <f t="shared" si="3"/>
        <v>55554.541367979233</v>
      </c>
      <c r="F64">
        <v>14</v>
      </c>
      <c r="G64" s="1">
        <f>G63+G63*H63-J64</f>
        <v>632158.20482705033</v>
      </c>
      <c r="H64" s="6">
        <v>0.029999999999999999</v>
      </c>
      <c r="I64" s="2"/>
      <c r="J64" s="2">
        <f>G63/K64</f>
        <v>47105.678452090193</v>
      </c>
      <c r="K64" s="6">
        <v>14</v>
      </c>
    </row>
    <row r="65">
      <c r="A65">
        <v>88</v>
      </c>
      <c r="B65" s="1">
        <f t="shared" si="2"/>
        <v>712682.87424204592</v>
      </c>
      <c r="C65">
        <v>0.029999999999999999</v>
      </c>
      <c r="E65" s="2">
        <f t="shared" si="3"/>
        <v>55225.329270983799</v>
      </c>
      <c r="F65">
        <v>13.5</v>
      </c>
      <c r="G65" s="1">
        <f>G64+G64*H64-J65</f>
        <v>604296.41728096921</v>
      </c>
      <c r="H65" s="6">
        <v>0.029999999999999999</v>
      </c>
      <c r="I65" s="2"/>
      <c r="J65" s="2">
        <f>G64/K65</f>
        <v>46826.533690892618</v>
      </c>
      <c r="K65" s="6">
        <v>13.5</v>
      </c>
    </row>
    <row r="66">
      <c r="A66">
        <v>89</v>
      </c>
      <c r="B66" s="1">
        <f t="shared" si="2"/>
        <v>679241.60091222683</v>
      </c>
      <c r="C66">
        <v>0.029999999999999999</v>
      </c>
      <c r="E66" s="2">
        <f t="shared" si="3"/>
        <v>54821.759557080455</v>
      </c>
      <c r="F66">
        <v>13</v>
      </c>
      <c r="G66" s="1">
        <f>G65+G65*H65-J66</f>
        <v>575940.97000855452</v>
      </c>
      <c r="H66" s="6">
        <v>0.029999999999999999</v>
      </c>
      <c r="I66" s="2"/>
      <c r="J66" s="2">
        <f>G65/K66</f>
        <v>46484.339790843784</v>
      </c>
      <c r="K66" s="6">
        <v>13</v>
      </c>
    </row>
    <row r="67">
      <c r="A67">
        <v>90</v>
      </c>
      <c r="B67" s="1">
        <f t="shared" si="2"/>
        <v>645279.52086661546</v>
      </c>
      <c r="C67">
        <v>0.029999999999999999</v>
      </c>
      <c r="E67" s="2">
        <f t="shared" si="3"/>
        <v>54339.328072978147</v>
      </c>
      <c r="F67">
        <v>12.5</v>
      </c>
      <c r="G67" s="1">
        <f>G66+G66*H66-J67</f>
        <v>547143.92150812678</v>
      </c>
      <c r="H67" s="6">
        <v>0.029999999999999999</v>
      </c>
      <c r="I67" s="2"/>
      <c r="J67" s="2">
        <f>G66/K67</f>
        <v>46075.277600684363</v>
      </c>
      <c r="K67" s="6">
        <v>12.5</v>
      </c>
    </row>
    <row r="68">
      <c r="A68">
        <v>91</v>
      </c>
      <c r="B68" s="1">
        <f t="shared" si="2"/>
        <v>610864.61308706272</v>
      </c>
      <c r="C68">
        <v>0.029999999999999999</v>
      </c>
      <c r="E68" s="2">
        <f t="shared" si="3"/>
        <v>53773.293405551289</v>
      </c>
      <c r="F68">
        <v>12</v>
      </c>
      <c r="G68" s="1">
        <f>G67+G67*H67-J68</f>
        <v>517962.91236102674</v>
      </c>
      <c r="H68" s="6">
        <v>0.029999999999999999</v>
      </c>
      <c r="I68" s="2"/>
      <c r="J68" s="2">
        <f>G67/K68</f>
        <v>45595.326792343898</v>
      </c>
      <c r="K68" s="6">
        <v>12</v>
      </c>
    </row>
    <row r="69">
      <c r="A69">
        <v>92</v>
      </c>
      <c r="B69" s="1">
        <f t="shared" si="2"/>
        <v>576071.88947210391</v>
      </c>
      <c r="C69">
        <v>0.029999999999999999</v>
      </c>
      <c r="E69" s="2">
        <f t="shared" si="3"/>
        <v>53118.662007570674</v>
      </c>
      <c r="F69">
        <v>11.5</v>
      </c>
      <c r="G69" s="1">
        <f>G68+G68*H68-J69</f>
        <v>488461.54648307257</v>
      </c>
      <c r="H69" s="6">
        <v>0.029999999999999999</v>
      </c>
      <c r="I69" s="2"/>
      <c r="J69" s="2">
        <f>G68/K69</f>
        <v>45040.253248784931</v>
      </c>
      <c r="K69" s="6">
        <v>11.5</v>
      </c>
    </row>
    <row r="70">
      <c r="A70">
        <v>93</v>
      </c>
      <c r="B70" s="1">
        <f t="shared" si="2"/>
        <v>540983.87438607577</v>
      </c>
      <c r="C70">
        <v>0.029999999999999999</v>
      </c>
      <c r="E70" s="2">
        <f t="shared" si="3"/>
        <v>52370.171770191264</v>
      </c>
      <c r="F70">
        <v>11</v>
      </c>
      <c r="G70" s="1">
        <f>G69+G69*H69-J70</f>
        <v>458709.79774274002</v>
      </c>
      <c r="H70" s="6">
        <v>0.029999999999999999</v>
      </c>
      <c r="I70" s="2"/>
      <c r="J70" s="2">
        <f>G69/K70</f>
        <v>44405.595134824776</v>
      </c>
      <c r="K70" s="6">
        <v>11</v>
      </c>
    </row>
    <row r="71">
      <c r="A71">
        <v>94</v>
      </c>
      <c r="B71" s="1">
        <f t="shared" si="2"/>
        <v>505691.1168666032</v>
      </c>
      <c r="C71">
        <v>0.029999999999999999</v>
      </c>
      <c r="E71" s="2">
        <f t="shared" si="3"/>
        <v>51522.273751054832</v>
      </c>
      <c r="F71">
        <v>10.5</v>
      </c>
      <c r="G71" s="1">
        <f>G70+G70*H70-J71</f>
        <v>428784.44427095173</v>
      </c>
      <c r="H71" s="6">
        <v>0.029999999999999999</v>
      </c>
      <c r="I71" s="2"/>
      <c r="J71" s="2">
        <f>G70/K71</f>
        <v>43686.647404070478</v>
      </c>
      <c r="K71" s="6">
        <v>10.5</v>
      </c>
    </row>
    <row r="72">
      <c r="A72">
        <v>95</v>
      </c>
      <c r="B72" s="1">
        <f t="shared" si="2"/>
        <v>470292.73868594097</v>
      </c>
      <c r="C72">
        <v>0.029999999999999999</v>
      </c>
      <c r="E72" s="2">
        <f t="shared" si="3"/>
        <v>50569.111686660319</v>
      </c>
      <c r="F72">
        <v>10</v>
      </c>
      <c r="G72" s="1">
        <f>G71+G71*H71-J72</f>
        <v>398769.53317198512</v>
      </c>
      <c r="H72" s="6">
        <v>0.029999999999999999</v>
      </c>
      <c r="I72" s="2"/>
      <c r="J72" s="2">
        <f>G71/K72</f>
        <v>42878.444427095172</v>
      </c>
      <c r="K72" s="6">
        <v>10</v>
      </c>
    </row>
    <row r="73">
      <c r="A73">
        <v>96</v>
      </c>
      <c r="B73" s="1">
        <f t="shared" si="2"/>
        <v>434897.02203747281</v>
      </c>
      <c r="C73">
        <v>0.029999999999999999</v>
      </c>
      <c r="E73" s="2">
        <f t="shared" si="3"/>
        <v>49504.498809046418</v>
      </c>
      <c r="F73">
        <v>9.5</v>
      </c>
      <c r="G73" s="1">
        <f>G72+G72*H72-J73</f>
        <v>368756.87883325154</v>
      </c>
      <c r="H73" s="6">
        <v>0.029999999999999999</v>
      </c>
      <c r="I73" s="2"/>
      <c r="J73" s="2">
        <f>G72/K73</f>
        <v>41975.740333893169</v>
      </c>
      <c r="K73" s="6">
        <v>9.5</v>
      </c>
    </row>
    <row r="74">
      <c r="A74">
        <v>97</v>
      </c>
      <c r="B74" s="1">
        <f t="shared" si="2"/>
        <v>399622.04136109998</v>
      </c>
      <c r="C74">
        <v>0.029999999999999999</v>
      </c>
      <c r="E74" s="2">
        <f t="shared" si="3"/>
        <v>48321.891337496978</v>
      </c>
      <c r="F74">
        <v>9</v>
      </c>
      <c r="G74" s="1">
        <f>G73+G73*H73-J74</f>
        <v>338846.59866122116</v>
      </c>
      <c r="H74" s="6">
        <v>0.029999999999999999</v>
      </c>
      <c r="I74" s="2"/>
      <c r="J74" s="2">
        <f>G73/K74</f>
        <v>40972.986537027951</v>
      </c>
      <c r="K74" s="6">
        <v>9</v>
      </c>
    </row>
    <row r="75">
      <c r="A75">
        <v>98</v>
      </c>
      <c r="B75" s="1">
        <f t="shared" si="2"/>
        <v>364596.34479474474</v>
      </c>
      <c r="C75">
        <v>0.029999999999999999</v>
      </c>
      <c r="E75" s="2">
        <f t="shared" si="3"/>
        <v>47014.357807188237</v>
      </c>
      <c r="F75">
        <v>8.5</v>
      </c>
      <c r="G75" s="1">
        <f>G74+G74*H74-J75</f>
        <v>309147.69089620828</v>
      </c>
      <c r="H75" s="6">
        <v>0.029999999999999999</v>
      </c>
      <c r="I75" s="2"/>
      <c r="J75" s="2">
        <f>G74/K75</f>
        <v>39864.305724849546</v>
      </c>
      <c r="K75" s="6">
        <v>8.5</v>
      </c>
    </row>
    <row r="76">
      <c r="A76">
        <v>99</v>
      </c>
      <c r="B76" s="1">
        <f t="shared" si="2"/>
        <v>329959.69203924399</v>
      </c>
      <c r="C76">
        <v>0.029999999999999999</v>
      </c>
      <c r="E76" s="2">
        <f t="shared" si="3"/>
        <v>45574.543099343093</v>
      </c>
      <c r="F76">
        <v>8</v>
      </c>
      <c r="G76" s="1">
        <f>G75+G75*H75-J76</f>
        <v>279778.66026106849</v>
      </c>
      <c r="H76" s="6">
        <v>0.029999999999999999</v>
      </c>
      <c r="I76" s="2"/>
      <c r="J76" s="2">
        <f>G75/K76</f>
        <v>38643.461362026035</v>
      </c>
      <c r="K76" s="6">
        <v>8</v>
      </c>
    </row>
    <row r="77">
      <c r="A77">
        <v>100</v>
      </c>
      <c r="B77" s="1">
        <f t="shared" si="2"/>
        <v>295863.85719518876</v>
      </c>
      <c r="C77">
        <v>0.029999999999999999</v>
      </c>
      <c r="E77" s="2">
        <f t="shared" si="3"/>
        <v>43994.625605232533</v>
      </c>
      <c r="F77">
        <v>7.5</v>
      </c>
      <c r="G77" s="1">
        <f>G76+G76*H76-J77</f>
        <v>250868.19870075808</v>
      </c>
      <c r="H77" s="6">
        <v>0.029999999999999999</v>
      </c>
      <c r="I77" s="2"/>
      <c r="J77" s="2">
        <f>G76/K77</f>
        <v>37303.821368142468</v>
      </c>
      <c r="K77" s="6">
        <v>7.5</v>
      </c>
    </row>
    <row r="78">
      <c r="E78" s="5" t="s">
        <v>6</v>
      </c>
      <c r="G78" s="1"/>
      <c r="H78" s="6"/>
      <c r="I78" s="2"/>
      <c r="J78" s="5" t="s">
        <v>6</v>
      </c>
      <c r="K78" s="6"/>
    </row>
    <row r="79">
      <c r="E79" s="2">
        <f>AVERAGE(E42:E77)</f>
        <v>53148.273297665939</v>
      </c>
      <c r="G79" s="1"/>
      <c r="H79" s="6"/>
      <c r="I79" s="2"/>
      <c r="J79" s="2">
        <f>AVERAGE(J42:J77)</f>
        <v>45065.361185515787</v>
      </c>
      <c r="K79" s="6"/>
    </row>
    <row r="80">
      <c r="G80" s="1"/>
      <c r="H80" s="6"/>
      <c r="I80" s="2"/>
      <c r="J80" s="2"/>
      <c r="K80" s="6"/>
    </row>
    <row r="81">
      <c r="G81" s="1"/>
      <c r="H81" s="6"/>
      <c r="I81" s="2"/>
      <c r="J81" s="2"/>
      <c r="K81" s="6"/>
    </row>
    <row r="82">
      <c r="G82" s="1"/>
      <c r="H82" s="6"/>
      <c r="I82" s="2"/>
      <c r="J82" s="2"/>
      <c r="K82" s="6"/>
    </row>
    <row r="83">
      <c r="G83" s="1"/>
      <c r="H83" s="6"/>
      <c r="I83" s="2"/>
      <c r="J83" s="2"/>
      <c r="K83" s="6"/>
    </row>
    <row r="84">
      <c r="G84" s="1"/>
      <c r="H84" s="6"/>
      <c r="I84" s="2"/>
      <c r="J84" s="2"/>
      <c r="K84" s="6"/>
    </row>
    <row r="85">
      <c r="G85" s="1"/>
      <c r="H85" s="6"/>
      <c r="I85" s="2"/>
      <c r="J85" s="2"/>
      <c r="K85" s="6"/>
    </row>
    <row r="86">
      <c r="G86" s="1"/>
      <c r="H86" s="6"/>
      <c r="I86" s="2"/>
      <c r="J86" s="2"/>
      <c r="K86" s="6"/>
    </row>
    <row r="87">
      <c r="G87" s="1"/>
      <c r="H87" s="6"/>
      <c r="I87" s="2"/>
      <c r="J87" s="2"/>
      <c r="K87" s="6"/>
    </row>
    <row r="88">
      <c r="G88" s="1"/>
      <c r="H88" s="6"/>
      <c r="I88" s="2"/>
      <c r="J88" s="2"/>
      <c r="K88" s="6"/>
    </row>
    <row r="89">
      <c r="G89" s="1"/>
      <c r="H89" s="6"/>
      <c r="I89" s="2"/>
      <c r="J89" s="2"/>
      <c r="K89" s="6"/>
    </row>
    <row r="90">
      <c r="G90" s="1"/>
      <c r="H90" s="6"/>
      <c r="I90" s="2"/>
      <c r="J90" s="2"/>
      <c r="K90" s="6"/>
    </row>
    <row r="91">
      <c r="G91" s="1"/>
      <c r="H91" s="6"/>
      <c r="I91" s="2"/>
      <c r="J91" s="2"/>
      <c r="K91" s="6"/>
    </row>
    <row r="92">
      <c r="G92" s="1"/>
      <c r="H92" s="6"/>
      <c r="I92" s="2"/>
      <c r="J92" s="2"/>
      <c r="K92" s="6"/>
    </row>
    <row r="93">
      <c r="G93" s="1"/>
      <c r="H93" s="6"/>
      <c r="I93" s="2"/>
      <c r="J93" s="2"/>
      <c r="K93" s="6"/>
    </row>
    <row r="94">
      <c r="G94" s="1"/>
      <c r="H94" s="6"/>
      <c r="I94" s="2"/>
      <c r="J94" s="2"/>
      <c r="K94" s="6"/>
    </row>
    <row r="95">
      <c r="G95" s="1"/>
      <c r="H95" s="6"/>
      <c r="I95" s="2"/>
      <c r="J95" s="2"/>
      <c r="K95" s="6"/>
    </row>
    <row r="96">
      <c r="G96" s="1"/>
      <c r="H96" s="6"/>
      <c r="I96" s="2"/>
      <c r="J96" s="2"/>
      <c r="K96" s="6"/>
    </row>
    <row r="97">
      <c r="G97" s="1"/>
      <c r="H97" s="6"/>
      <c r="I97" s="2"/>
      <c r="J97" s="2"/>
      <c r="K97" s="6"/>
    </row>
    <row r="98">
      <c r="G98" s="1"/>
      <c r="H98" s="6"/>
      <c r="I98" s="2"/>
      <c r="J98" s="2"/>
      <c r="K98" s="6"/>
    </row>
    <row r="99">
      <c r="G99" s="1"/>
      <c r="H99" s="6"/>
      <c r="I99" s="2"/>
      <c r="J99" s="2"/>
      <c r="K99" s="6"/>
    </row>
    <row r="100">
      <c r="G100" s="1"/>
      <c r="H100" s="6"/>
      <c r="I100" s="2"/>
      <c r="J100" s="2"/>
      <c r="K100" s="6"/>
    </row>
    <row r="101" ht="14.25">
      <c r="G101" s="1"/>
      <c r="H101" s="6"/>
      <c r="I101" s="2"/>
      <c r="J101" s="2"/>
      <c r="K101" s="6"/>
    </row>
    <row r="102" ht="14.25">
      <c r="G102" s="1"/>
      <c r="H102" s="6"/>
      <c r="I102" s="2"/>
      <c r="J102" s="2"/>
      <c r="K102" s="6"/>
    </row>
    <row r="103" ht="14.25">
      <c r="G103" s="1"/>
      <c r="H103" s="6"/>
      <c r="I103" s="2"/>
      <c r="J103" s="2"/>
      <c r="K103" s="6"/>
    </row>
    <row r="104" ht="14.25">
      <c r="G104" s="1"/>
      <c r="H104" s="6"/>
      <c r="I104" s="2"/>
      <c r="J104" s="2"/>
      <c r="K104" s="6"/>
    </row>
    <row r="105" ht="14.25">
      <c r="G105" s="1"/>
      <c r="H105" s="6"/>
      <c r="I105" s="2"/>
      <c r="J105" s="2"/>
      <c r="K105" s="6"/>
    </row>
    <row r="106" ht="14.25">
      <c r="G106" s="1"/>
      <c r="H106" s="6"/>
      <c r="I106" s="2"/>
      <c r="J106" s="2"/>
      <c r="K106" s="6"/>
    </row>
    <row r="107" ht="14.25">
      <c r="G107" s="1"/>
      <c r="H107" s="6"/>
      <c r="I107" s="2"/>
      <c r="J107" s="2"/>
      <c r="K107" s="6"/>
    </row>
    <row r="108" ht="14.25">
      <c r="G108" s="1"/>
      <c r="H108" s="6"/>
      <c r="I108" s="2"/>
      <c r="J108" s="2"/>
      <c r="K108" s="6"/>
    </row>
    <row r="109" ht="14.25">
      <c r="G109" s="1"/>
      <c r="H109" s="6"/>
      <c r="I109" s="2"/>
      <c r="J109" s="2"/>
      <c r="K109" s="6"/>
    </row>
    <row r="110" ht="14.25">
      <c r="G110" s="1"/>
      <c r="H110" s="6"/>
      <c r="I110" s="2"/>
      <c r="J110" s="2"/>
      <c r="K110" s="6"/>
    </row>
    <row r="111" ht="14.25">
      <c r="G111" s="1"/>
      <c r="H111" s="6"/>
      <c r="I111" s="2"/>
      <c r="J111" s="2"/>
      <c r="K111" s="6"/>
    </row>
    <row r="112" ht="14.25">
      <c r="G112" s="1"/>
      <c r="H112" s="6"/>
      <c r="I112" s="2"/>
      <c r="J112" s="2"/>
      <c r="K112" s="6"/>
    </row>
    <row r="113" ht="14.25">
      <c r="G113" s="1"/>
      <c r="H113" s="6"/>
      <c r="I113" s="2"/>
      <c r="J113" s="2"/>
      <c r="K113" s="6"/>
    </row>
    <row r="114" ht="14.25">
      <c r="G114" s="1"/>
      <c r="H114" s="6"/>
      <c r="I114" s="2"/>
      <c r="J114" s="2"/>
      <c r="K114" s="6"/>
    </row>
    <row r="115" ht="14.25">
      <c r="G115" s="1"/>
      <c r="H115" s="6"/>
      <c r="I115" s="2"/>
      <c r="J115" s="2"/>
      <c r="K115" s="6"/>
    </row>
    <row r="116" ht="14.25">
      <c r="G116" s="1"/>
      <c r="H116" s="6"/>
      <c r="I116" s="2"/>
      <c r="J116" s="2"/>
      <c r="K116" s="6"/>
    </row>
    <row r="117" ht="14.25">
      <c r="G117" s="1"/>
      <c r="H117" s="6"/>
      <c r="I117" s="2"/>
      <c r="J117" s="2"/>
      <c r="K117" s="6"/>
    </row>
    <row r="118" ht="14.25">
      <c r="G118" s="1"/>
      <c r="H118" s="6"/>
      <c r="I118" s="2"/>
      <c r="J118" s="2"/>
      <c r="K118" s="6"/>
    </row>
    <row r="119" ht="14.25">
      <c r="G119" s="1"/>
      <c r="H119" s="6"/>
      <c r="I119" s="2"/>
      <c r="J119" s="2"/>
      <c r="K119" s="6"/>
    </row>
    <row r="120" ht="14.25">
      <c r="G120" s="1"/>
      <c r="H120" s="6"/>
      <c r="I120" s="2"/>
      <c r="J120" s="2"/>
      <c r="K120" s="6"/>
    </row>
    <row r="121" ht="14.25">
      <c r="G121" s="1"/>
      <c r="H121" s="6"/>
      <c r="I121" s="2"/>
      <c r="J121" s="2"/>
      <c r="K121" s="6"/>
    </row>
    <row r="122" ht="14.25">
      <c r="G122" s="1"/>
      <c r="H122" s="6"/>
      <c r="I122" s="2"/>
      <c r="J122" s="2"/>
      <c r="K122" s="6"/>
    </row>
    <row r="123" ht="14.25">
      <c r="G123" s="1"/>
      <c r="H123" s="6"/>
      <c r="I123" s="2"/>
      <c r="J123" s="2"/>
      <c r="K123" s="6"/>
    </row>
    <row r="124" ht="14.25">
      <c r="G124" s="1"/>
      <c r="H124" s="6"/>
      <c r="I124" s="2"/>
      <c r="J124" s="2"/>
      <c r="K124" s="6"/>
    </row>
    <row r="125" ht="14.25">
      <c r="G125" s="1"/>
      <c r="H125" s="6"/>
      <c r="I125" s="2"/>
      <c r="J125" s="2"/>
      <c r="K125" s="6"/>
    </row>
    <row r="126" ht="14.25">
      <c r="G126" s="1"/>
      <c r="H126" s="6"/>
      <c r="I126" s="2"/>
      <c r="J126" s="2"/>
      <c r="K126" s="6"/>
    </row>
    <row r="127" ht="14.25">
      <c r="G127" s="1"/>
      <c r="H127" s="6"/>
      <c r="I127" s="2"/>
      <c r="J127" s="2"/>
      <c r="K127" s="6"/>
    </row>
    <row r="128" ht="14.25">
      <c r="G128" s="1"/>
      <c r="H128" s="6"/>
      <c r="I128" s="2"/>
      <c r="J128" s="2"/>
      <c r="K128" s="6"/>
    </row>
    <row r="129" ht="14.25">
      <c r="G129" s="1"/>
      <c r="H129" s="6"/>
      <c r="I129" s="2"/>
      <c r="J129" s="2"/>
      <c r="K129" s="6"/>
    </row>
    <row r="130" ht="14.25">
      <c r="G130" s="1"/>
      <c r="H130" s="6"/>
      <c r="I130" s="2"/>
      <c r="J130" s="2"/>
      <c r="K130" s="6"/>
    </row>
    <row r="131" ht="14.25">
      <c r="G131" s="1"/>
      <c r="H131" s="6"/>
      <c r="I131" s="2"/>
      <c r="J131" s="2"/>
      <c r="K131" s="6"/>
    </row>
    <row r="132" ht="14.25">
      <c r="G132" s="1"/>
      <c r="H132" s="6"/>
      <c r="I132" s="2"/>
      <c r="J132" s="2"/>
      <c r="K132" s="6"/>
    </row>
    <row r="133" ht="14.25">
      <c r="G133" s="1"/>
      <c r="H133" s="6"/>
      <c r="I133" s="2"/>
      <c r="J133" s="2"/>
      <c r="K133" s="6"/>
    </row>
    <row r="134" ht="14.25">
      <c r="G134" s="1"/>
      <c r="H134" s="6"/>
      <c r="I134" s="2"/>
      <c r="J134" s="2"/>
      <c r="K134" s="6"/>
    </row>
    <row r="135" ht="14.25">
      <c r="G135" s="1"/>
      <c r="H135" s="6"/>
      <c r="I135" s="2"/>
      <c r="J135" s="2"/>
      <c r="K135" s="6"/>
    </row>
    <row r="136" ht="14.25">
      <c r="G136" s="1"/>
      <c r="H136" s="6"/>
      <c r="I136" s="2"/>
      <c r="J136" s="2"/>
      <c r="K136" s="6"/>
    </row>
    <row r="137" ht="14.25">
      <c r="G137" s="1"/>
      <c r="H137" s="6"/>
      <c r="I137" s="2"/>
      <c r="J137" s="2"/>
      <c r="K137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1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2026-09-08T18:45:53Z</dcterms:modified>
</cp:coreProperties>
</file>